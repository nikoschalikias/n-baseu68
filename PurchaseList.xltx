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orcad4\orcad\n-baseU68\"/>
    </mc:Choice>
  </mc:AlternateContent>
  <bookViews>
    <workbookView xWindow="480" yWindow="120" windowWidth="27795" windowHeight="14625"/>
  </bookViews>
  <sheets>
    <sheet name="PurchaseList" sheetId="1" r:id="rId1"/>
  </sheets>
  <calcPr calcId="152511"/>
</workbook>
</file>

<file path=xl/calcChain.xml><?xml version="1.0" encoding="utf-8"?>
<calcChain xmlns="http://schemas.openxmlformats.org/spreadsheetml/2006/main">
  <c r="T6" i="1" l="1"/>
  <c r="S6" i="1" l="1"/>
  <c r="T4" i="1" l="1"/>
  <c r="T3" i="1"/>
  <c r="T2" i="1"/>
  <c r="Q3" i="1" l="1"/>
  <c r="S3" i="1" s="1"/>
  <c r="Q4" i="1"/>
  <c r="S4" i="1" s="1"/>
  <c r="Q2" i="1"/>
  <c r="S2" i="1" s="1"/>
  <c r="M6" i="1" l="1"/>
  <c r="A3" i="1" l="1"/>
  <c r="A4" i="1"/>
  <c r="A2" i="1"/>
</calcChain>
</file>

<file path=xl/sharedStrings.xml><?xml version="1.0" encoding="utf-8"?>
<sst xmlns="http://schemas.openxmlformats.org/spreadsheetml/2006/main" count="31" uniqueCount="30">
  <si>
    <t>Item #</t>
  </si>
  <si>
    <t>Column=Designator</t>
  </si>
  <si>
    <t>Column=Comment</t>
  </si>
  <si>
    <t>Column=Description</t>
  </si>
  <si>
    <t>Column=Footprint</t>
  </si>
  <si>
    <t>Column=Manufacturer 1</t>
  </si>
  <si>
    <t>Column=Manufacturer Part Number 1</t>
  </si>
  <si>
    <t>Column=Supplier 1</t>
  </si>
  <si>
    <t>Column=Supplier Currency 1</t>
  </si>
  <si>
    <t>Column=Supplier Stock 1</t>
  </si>
  <si>
    <t>Column=Supplier Part Number 1</t>
  </si>
  <si>
    <t>Column=Quantity</t>
  </si>
  <si>
    <t>Column=Supplier Order Qty 1</t>
  </si>
  <si>
    <t>Column=Supplier Unit Price 1</t>
  </si>
  <si>
    <t>Column=Manufacturer</t>
  </si>
  <si>
    <t>Column=S.Description</t>
  </si>
  <si>
    <t>Field=prj</t>
  </si>
  <si>
    <t>Field=ReportDate</t>
  </si>
  <si>
    <t>Field=ReportTime</t>
  </si>
  <si>
    <t>printed:</t>
  </si>
  <si>
    <t>project:</t>
  </si>
  <si>
    <t>report created:</t>
  </si>
  <si>
    <t>Field=OrderQty</t>
  </si>
  <si>
    <t>production QTY:</t>
  </si>
  <si>
    <t>G .Total</t>
  </si>
  <si>
    <t>pcs</t>
  </si>
  <si>
    <t>Column=Divider</t>
  </si>
  <si>
    <t>adjusted QTY</t>
  </si>
  <si>
    <t>Adjusted Supplier Subtotal 1</t>
  </si>
  <si>
    <t>per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</si>
</sst>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m/yyyy\ hh:mm"/>
    <numFmt numFmtId="165" formatCode="&quot;€&quot;#,##0.00"/>
  </numFmts>
  <fonts count="1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Cambria"/>
      <family val="1"/>
    </font>
    <font>
      <b/>
      <sz val="14"/>
      <color theme="1"/>
      <name val="Calibri"/>
      <family val="2"/>
      <scheme val="minor"/>
    </font>
    <font>
      <sz val="14"/>
      <color theme="1"/>
      <name val="Arial Narrow"/>
      <family val="2"/>
    </font>
    <font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6"/>
      <color rgb="FF000000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6" fillId="3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 vertical="center"/>
    </xf>
    <xf numFmtId="0" fontId="6" fillId="5" borderId="1" xfId="0" quotePrefix="1" applyFont="1" applyFill="1" applyBorder="1" applyAlignment="1">
      <alignment horizontal="center" vertical="center" wrapText="1"/>
    </xf>
    <xf numFmtId="0" fontId="6" fillId="4" borderId="1" xfId="0" quotePrefix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quotePrefix="1" applyFont="1" applyBorder="1" applyAlignment="1">
      <alignment vertical="center" wrapText="1"/>
    </xf>
    <xf numFmtId="0" fontId="1" fillId="3" borderId="1" xfId="0" quotePrefix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2" fillId="0" borderId="3" xfId="0" applyFont="1" applyBorder="1"/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quotePrefix="1" applyFont="1" applyBorder="1" applyAlignment="1">
      <alignment vertical="center" wrapText="1"/>
    </xf>
    <xf numFmtId="0" fontId="1" fillId="0" borderId="0" xfId="0" quotePrefix="1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1" fillId="6" borderId="0" xfId="0" quotePrefix="1" applyFont="1" applyFill="1" applyBorder="1" applyAlignment="1">
      <alignment vertical="center" wrapText="1"/>
    </xf>
    <xf numFmtId="0" fontId="0" fillId="6" borderId="0" xfId="0" applyFill="1"/>
    <xf numFmtId="0" fontId="3" fillId="6" borderId="0" xfId="0" quotePrefix="1" applyFont="1" applyFill="1" applyBorder="1" applyAlignment="1">
      <alignment vertical="center" wrapText="1"/>
    </xf>
    <xf numFmtId="0" fontId="2" fillId="6" borderId="0" xfId="0" applyFont="1" applyFill="1"/>
    <xf numFmtId="0" fontId="3" fillId="6" borderId="0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" fillId="3" borderId="1" xfId="0" quotePrefix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vertical="center" wrapText="1"/>
    </xf>
    <xf numFmtId="0" fontId="10" fillId="0" borderId="3" xfId="0" applyFont="1" applyBorder="1"/>
    <xf numFmtId="0" fontId="1" fillId="0" borderId="1" xfId="0" quotePrefix="1" applyFont="1" applyBorder="1" applyAlignment="1">
      <alignment horizontal="center" vertical="center" wrapText="1"/>
    </xf>
    <xf numFmtId="0" fontId="4" fillId="0" borderId="1" xfId="0" quotePrefix="1" applyFont="1" applyBorder="1" applyAlignment="1">
      <alignment horizontal="center" vertical="center" wrapText="1"/>
    </xf>
    <xf numFmtId="0" fontId="11" fillId="0" borderId="1" xfId="0" quotePrefix="1" applyFont="1" applyBorder="1" applyAlignment="1">
      <alignment vertical="center" wrapText="1"/>
    </xf>
    <xf numFmtId="164" fontId="7" fillId="6" borderId="6" xfId="0" applyNumberFormat="1" applyFont="1" applyFill="1" applyBorder="1" applyAlignment="1">
      <alignment horizontal="center" vertical="center"/>
    </xf>
    <xf numFmtId="0" fontId="7" fillId="3" borderId="5" xfId="0" applyFont="1" applyFill="1" applyBorder="1" applyAlignment="1">
      <alignment vertical="center" wrapText="1"/>
    </xf>
    <xf numFmtId="165" fontId="7" fillId="3" borderId="6" xfId="0" applyNumberFormat="1" applyFont="1" applyFill="1" applyBorder="1" applyAlignment="1">
      <alignment vertical="center"/>
    </xf>
    <xf numFmtId="0" fontId="0" fillId="3" borderId="3" xfId="0" applyFill="1" applyBorder="1"/>
    <xf numFmtId="0" fontId="7" fillId="3" borderId="4" xfId="0" applyFont="1" applyFill="1" applyBorder="1"/>
    <xf numFmtId="0" fontId="7" fillId="3" borderId="3" xfId="0" applyFont="1" applyFill="1" applyBorder="1" applyAlignment="1">
      <alignment horizontal="left" vertical="center"/>
    </xf>
    <xf numFmtId="164" fontId="7" fillId="6" borderId="0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0" fontId="3" fillId="0" borderId="1" xfId="0" quotePrefix="1" applyFont="1" applyFill="1" applyBorder="1" applyAlignment="1">
      <alignment horizontal="center" vertical="center" wrapText="1"/>
    </xf>
    <xf numFmtId="0" fontId="0" fillId="0" borderId="8" xfId="0" applyBorder="1"/>
    <xf numFmtId="165" fontId="0" fillId="3" borderId="7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tabSelected="1" topLeftCell="H1" workbookViewId="0">
      <selection activeCell="T6" sqref="T6"/>
    </sheetView>
  </sheetViews>
  <sheetFormatPr defaultRowHeight="16.5" x14ac:dyDescent="0.3"/>
  <cols>
    <col min="2" max="2" width="13.28515625" style="2" customWidth="1"/>
    <col min="3" max="3" width="22.42578125" customWidth="1"/>
    <col min="4" max="4" width="15.85546875" customWidth="1"/>
    <col min="5" max="5" width="9.42578125" customWidth="1"/>
    <col min="6" max="6" width="34.5703125" customWidth="1"/>
    <col min="7" max="7" width="36.85546875" customWidth="1"/>
    <col min="8" max="8" width="14.85546875" customWidth="1"/>
    <col min="9" max="9" width="21.5703125" customWidth="1"/>
    <col min="10" max="10" width="9.85546875" style="29" customWidth="1"/>
    <col min="11" max="11" width="7.5703125" customWidth="1"/>
    <col min="12" max="12" width="8.140625" customWidth="1"/>
    <col min="13" max="13" width="25.140625" style="31" customWidth="1"/>
    <col min="14" max="14" width="4.28515625" style="31" customWidth="1"/>
    <col min="15" max="15" width="5.42578125" style="1" customWidth="1"/>
    <col min="16" max="17" width="6.42578125" style="34" customWidth="1"/>
    <col min="18" max="18" width="10.28515625" customWidth="1"/>
    <col min="19" max="19" width="12.5703125" customWidth="1"/>
    <col min="20" max="20" width="11.140625" bestFit="1" customWidth="1"/>
  </cols>
  <sheetData>
    <row r="1" spans="1:20" ht="64.5" customHeight="1" x14ac:dyDescent="0.25">
      <c r="A1" s="6" t="s">
        <v>0</v>
      </c>
      <c r="B1" s="3" t="s">
        <v>1</v>
      </c>
      <c r="C1" s="3" t="s">
        <v>2</v>
      </c>
      <c r="D1" s="3" t="s">
        <v>4</v>
      </c>
      <c r="E1" s="3" t="s">
        <v>14</v>
      </c>
      <c r="F1" s="8" t="s">
        <v>3</v>
      </c>
      <c r="G1" s="7" t="s">
        <v>15</v>
      </c>
      <c r="H1" s="4" t="s">
        <v>5</v>
      </c>
      <c r="I1" s="4" t="s">
        <v>6</v>
      </c>
      <c r="J1" s="4" t="s">
        <v>7</v>
      </c>
      <c r="K1" s="5" t="s">
        <v>8</v>
      </c>
      <c r="L1" s="4" t="s">
        <v>9</v>
      </c>
      <c r="M1" s="4" t="s">
        <v>10</v>
      </c>
      <c r="N1" s="4" t="s">
        <v>26</v>
      </c>
      <c r="O1" s="5" t="s">
        <v>11</v>
      </c>
      <c r="P1" s="5" t="s">
        <v>12</v>
      </c>
      <c r="Q1" s="5" t="s">
        <v>27</v>
      </c>
      <c r="R1" s="5" t="s">
        <v>13</v>
      </c>
      <c r="S1" s="5" t="s">
        <v>28</v>
      </c>
      <c r="T1" s="6" t="s">
        <v>0</v>
      </c>
    </row>
    <row r="2" spans="1:20" ht="24.75" customHeight="1" x14ac:dyDescent="0.25">
      <c r="A2" s="9">
        <f>ROW(A2) - ROW($A$1)</f>
        <v>1</v>
      </c>
      <c r="B2" s="39"/>
      <c r="C2" s="38"/>
      <c r="D2" s="38"/>
      <c r="E2" s="10"/>
      <c r="F2" s="10"/>
      <c r="G2" s="40"/>
      <c r="H2" s="10"/>
      <c r="I2" s="10"/>
      <c r="J2" s="11"/>
      <c r="K2" s="10"/>
      <c r="L2" s="12"/>
      <c r="M2" s="35"/>
      <c r="N2" s="49">
        <v>1</v>
      </c>
      <c r="O2" s="12"/>
      <c r="P2" s="13"/>
      <c r="Q2" s="13">
        <f>ROUNDUP(P2*N2,0)</f>
        <v>0</v>
      </c>
      <c r="R2" s="36"/>
      <c r="S2" s="36">
        <f>R2*Q2</f>
        <v>0</v>
      </c>
      <c r="T2" s="9">
        <f>ROW(T2) - ROW($A$1)</f>
        <v>1</v>
      </c>
    </row>
    <row r="3" spans="1:20" ht="24.75" customHeight="1" x14ac:dyDescent="0.25">
      <c r="A3" s="9">
        <f t="shared" ref="A3:A4" si="0">ROW(A3) - ROW($A$1)</f>
        <v>2</v>
      </c>
      <c r="B3" s="39"/>
      <c r="C3" s="38"/>
      <c r="D3" s="38"/>
      <c r="E3" s="10"/>
      <c r="F3" s="10"/>
      <c r="G3" s="40"/>
      <c r="H3" s="10"/>
      <c r="I3" s="10"/>
      <c r="J3" s="11"/>
      <c r="K3" s="10"/>
      <c r="L3" s="12"/>
      <c r="M3" s="35"/>
      <c r="N3" s="49">
        <v>1</v>
      </c>
      <c r="O3" s="12"/>
      <c r="P3" s="13"/>
      <c r="Q3" s="13">
        <f t="shared" ref="Q3:Q4" si="1">ROUNDUP(P3*N3,0)</f>
        <v>0</v>
      </c>
      <c r="R3" s="36"/>
      <c r="S3" s="36">
        <f t="shared" ref="S3:S4" si="2">R3*Q3</f>
        <v>0</v>
      </c>
      <c r="T3" s="9">
        <f t="shared" ref="T3:T4" si="3">ROW(T3) - ROW($A$1)</f>
        <v>2</v>
      </c>
    </row>
    <row r="4" spans="1:20" ht="24.75" customHeight="1" x14ac:dyDescent="0.25">
      <c r="A4" s="9">
        <f t="shared" si="0"/>
        <v>3</v>
      </c>
      <c r="B4" s="39"/>
      <c r="C4" s="38"/>
      <c r="D4" s="38"/>
      <c r="E4" s="10"/>
      <c r="F4" s="10"/>
      <c r="G4" s="40"/>
      <c r="H4" s="10"/>
      <c r="I4" s="10"/>
      <c r="J4" s="11"/>
      <c r="K4" s="10"/>
      <c r="L4" s="12"/>
      <c r="M4" s="35"/>
      <c r="N4" s="49">
        <v>1</v>
      </c>
      <c r="O4" s="12"/>
      <c r="P4" s="13"/>
      <c r="Q4" s="13">
        <f t="shared" si="1"/>
        <v>0</v>
      </c>
      <c r="R4" s="36"/>
      <c r="S4" s="36">
        <f t="shared" si="2"/>
        <v>0</v>
      </c>
      <c r="T4" s="9">
        <f t="shared" si="3"/>
        <v>3</v>
      </c>
    </row>
    <row r="5" spans="1:20" ht="6.75" customHeight="1" thickBot="1" x14ac:dyDescent="0.3">
      <c r="A5" s="21"/>
      <c r="B5" s="22"/>
      <c r="C5" s="23"/>
      <c r="D5" s="23"/>
      <c r="E5" s="23"/>
      <c r="F5" s="23"/>
      <c r="G5" s="22"/>
      <c r="H5" s="23"/>
      <c r="I5" s="23"/>
      <c r="J5" s="28"/>
      <c r="K5" s="23"/>
      <c r="L5" s="24"/>
      <c r="M5" s="30"/>
      <c r="N5" s="30"/>
      <c r="O5" s="25"/>
      <c r="P5" s="32"/>
      <c r="Q5" s="32"/>
      <c r="R5" s="24"/>
      <c r="S5" s="24"/>
    </row>
    <row r="6" spans="1:20" ht="21.75" customHeight="1" thickTop="1" thickBot="1" x14ac:dyDescent="0.3">
      <c r="A6" s="14" t="s">
        <v>20</v>
      </c>
      <c r="B6" s="15"/>
      <c r="C6" s="27" t="s">
        <v>16</v>
      </c>
      <c r="E6" s="20"/>
      <c r="F6" s="26" t="s">
        <v>21</v>
      </c>
      <c r="G6" s="16" t="s">
        <v>17</v>
      </c>
      <c r="H6" s="27" t="s">
        <v>18</v>
      </c>
      <c r="I6" s="20"/>
      <c r="K6" s="17" t="s">
        <v>19</v>
      </c>
      <c r="L6" s="18"/>
      <c r="M6" s="41">
        <f ca="1">NOW()</f>
        <v>42296.471518055558</v>
      </c>
      <c r="N6" s="47"/>
      <c r="O6" s="19"/>
      <c r="P6" s="33"/>
      <c r="Q6" s="33"/>
      <c r="R6" s="42" t="s">
        <v>24</v>
      </c>
      <c r="S6" s="43">
        <f>SUM(S2:S4)</f>
        <v>0</v>
      </c>
      <c r="T6" s="51" t="e">
        <f>(SUM(T2:T4))/P7</f>
        <v>#VALUE!</v>
      </c>
    </row>
    <row r="7" spans="1:20" ht="16.5" customHeight="1" thickTop="1" thickBot="1" x14ac:dyDescent="0.35">
      <c r="M7" s="26" t="s">
        <v>23</v>
      </c>
      <c r="N7" s="48"/>
      <c r="O7" s="37"/>
      <c r="P7" s="46" t="s">
        <v>22</v>
      </c>
      <c r="Q7" s="46"/>
      <c r="R7" s="44"/>
      <c r="S7" s="45" t="s">
        <v>25</v>
      </c>
      <c r="T7" s="50" t="s">
        <v>29</v>
      </c>
    </row>
    <row r="8" spans="1:20" ht="17.25" thickTop="1" x14ac:dyDescent="0.3"/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technician</dc:creator>
  <cp:lastModifiedBy>technician</cp:lastModifiedBy>
  <dcterms:created xsi:type="dcterms:W3CDTF">2014-12-04T09:48:08Z</dcterms:created>
  <dcterms:modified xsi:type="dcterms:W3CDTF">2015-10-19T10:19:26Z</dcterms:modified>
</cp:coreProperties>
</file>